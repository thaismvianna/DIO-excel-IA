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ís\Downloads\"/>
    </mc:Choice>
  </mc:AlternateContent>
  <xr:revisionPtr revIDLastSave="0" documentId="13_ncr:1_{F9C5D79E-2B89-4683-AD02-E84DCFBF2BBC}" xr6:coauthVersionLast="47" xr6:coauthVersionMax="47" xr10:uidLastSave="{00000000-0000-0000-0000-000000000000}"/>
  <bookViews>
    <workbookView xWindow="-108" yWindow="-108" windowWidth="23256" windowHeight="12696" tabRatio="5" xr2:uid="{4C814B99-ABA3-4C81-A2F2-8DE88566544B}"/>
  </bookViews>
  <sheets>
    <sheet name="APP" sheetId="1" r:id="rId1"/>
    <sheet name="tabela_apoio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36" i="1" l="1"/>
  <c r="D41" i="1"/>
  <c r="D40" i="1"/>
  <c r="D39" i="1"/>
  <c r="D38" i="1"/>
  <c r="D37" i="1"/>
  <c r="D42" i="1" l="1"/>
</calcChain>
</file>

<file path=xl/sharedStrings.xml><?xml version="1.0" encoding="utf-8"?>
<sst xmlns="http://schemas.openxmlformats.org/spreadsheetml/2006/main" count="71" uniqueCount="35">
  <si>
    <t>Quanto investir por mês?</t>
  </si>
  <si>
    <t>Por quantos anos?</t>
  </si>
  <si>
    <t>Taxa de rendimento mensal?</t>
  </si>
  <si>
    <t>Dividendos mensais?</t>
  </si>
  <si>
    <t>Patrimônio acumulado?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</si>
  <si>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</si>
  <si>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</si>
  <si>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</si>
  <si>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</si>
  <si>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</si>
  <si>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</si>
  <si>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</si>
  <si>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</si>
  <si>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Rendimento Carteira</t>
  </si>
  <si>
    <t>Salário</t>
  </si>
  <si>
    <t>CONFIGURAÇÕES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</si>
  <si>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</si>
  <si>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</si>
  <si>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</si>
  <si>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</si>
  <si>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</si>
  <si>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</si>
  <si>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</si>
  <si>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</si>
  <si>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</si>
  <si>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</si>
  <si>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</si>
  <si>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</si>
  <si>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TIPOS DE FII</t>
  </si>
  <si>
    <t>%</t>
  </si>
  <si>
    <t>CHAVE</t>
  </si>
  <si>
    <t>Moderado</t>
  </si>
  <si>
    <t>Agressivo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</si>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</sst>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dashed">
        <color theme="2" tint="-0.499984740745262"/>
      </left>
      <right style="dashed">
        <color theme="2" tint="-0.499984740745262"/>
      </right>
      <top style="dashed">
        <color theme="2" tint="-0.499984740745262"/>
      </top>
      <bottom style="dashed">
        <color theme="2" tint="-0.499984740745262"/>
      </bottom>
      <diagonal/>
    </border>
    <border>
      <left style="medium">
        <color indexed="64"/>
      </left>
      <right style="dashed">
        <color theme="2" tint="-0.499984740745262"/>
      </right>
      <top style="dashed">
        <color theme="2" tint="-0.499984740745262"/>
      </top>
      <bottom style="dashed">
        <color theme="2" tint="-0.499984740745262"/>
      </bottom>
      <diagonal/>
    </border>
    <border>
      <left style="dashed">
        <color theme="2" tint="-0.499984740745262"/>
      </left>
      <right style="medium">
        <color indexed="64"/>
      </right>
      <top style="dashed">
        <color theme="2" tint="-0.499984740745262"/>
      </top>
      <bottom style="dashed">
        <color theme="2" tint="-0.499984740745262"/>
      </bottom>
      <diagonal/>
    </border>
    <border>
      <left style="medium">
        <color indexed="64"/>
      </left>
      <right style="dashed">
        <color theme="2" tint="-0.499984740745262"/>
      </right>
      <top style="dashed">
        <color theme="2" tint="-0.499984740745262"/>
      </top>
      <bottom style="medium">
        <color indexed="64"/>
      </bottom>
      <diagonal/>
    </border>
    <border>
      <left style="dashed">
        <color theme="2" tint="-0.499984740745262"/>
      </left>
      <right style="dashed">
        <color theme="2" tint="-0.499984740745262"/>
      </right>
      <top style="dashed">
        <color theme="2" tint="-0.499984740745262"/>
      </top>
      <bottom style="medium">
        <color indexed="64"/>
      </bottom>
      <diagonal/>
    </border>
    <border>
      <left style="dashed">
        <color theme="2" tint="-0.499984740745262"/>
      </left>
      <right style="medium">
        <color indexed="64"/>
      </right>
      <top style="dashed">
        <color theme="2" tint="-0.499984740745262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9" fontId="0" fillId="0" borderId="0" xfId="0" applyNumberFormat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8" fontId="0" fillId="4" borderId="5" xfId="0" applyNumberFormat="1" applyFill="1" applyBorder="1" applyAlignment="1">
      <alignment horizontal="center"/>
    </xf>
    <xf numFmtId="8" fontId="0" fillId="4" borderId="8" xfId="0" applyNumberFormat="1" applyFill="1" applyBorder="1" applyAlignment="1">
      <alignment horizontal="center"/>
    </xf>
    <xf numFmtId="8" fontId="0" fillId="4" borderId="6" xfId="0" applyNumberFormat="1" applyFill="1" applyBorder="1" applyAlignment="1">
      <alignment horizontal="center"/>
    </xf>
    <xf numFmtId="8" fontId="0" fillId="4" borderId="11" xfId="0" applyNumberFormat="1" applyFill="1" applyBorder="1" applyAlignment="1">
      <alignment horizontal="center"/>
    </xf>
    <xf numFmtId="8" fontId="0" fillId="4" borderId="12" xfId="0" applyNumberForma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top"/>
    </xf>
    <xf numFmtId="0" fontId="6" fillId="6" borderId="3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left" indent="2"/>
    </xf>
    <xf numFmtId="0" fontId="0" fillId="4" borderId="9" xfId="0" applyFont="1" applyFill="1" applyBorder="1" applyAlignment="1">
      <alignment horizontal="left" indent="2"/>
    </xf>
    <xf numFmtId="0" fontId="0" fillId="4" borderId="10" xfId="0" applyFont="1" applyFill="1" applyBorder="1" applyAlignment="1">
      <alignment horizontal="left" indent="2"/>
    </xf>
    <xf numFmtId="0" fontId="0" fillId="7" borderId="13" xfId="0" applyFont="1" applyFill="1" applyBorder="1" applyAlignment="1">
      <alignment horizontal="left" indent="2"/>
    </xf>
    <xf numFmtId="0" fontId="3" fillId="5" borderId="13" xfId="0" applyFont="1" applyFill="1" applyBorder="1" applyAlignment="1">
      <alignment horizontal="left" indent="2"/>
    </xf>
    <xf numFmtId="0" fontId="0" fillId="7" borderId="14" xfId="0" applyFont="1" applyFill="1" applyBorder="1" applyAlignment="1">
      <alignment horizontal="left" indent="2"/>
    </xf>
    <xf numFmtId="168" fontId="0" fillId="0" borderId="15" xfId="1" applyNumberFormat="1" applyFon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0" fontId="0" fillId="7" borderId="16" xfId="0" applyFont="1" applyFill="1" applyBorder="1" applyAlignment="1">
      <alignment horizontal="left" indent="2"/>
    </xf>
    <xf numFmtId="0" fontId="0" fillId="7" borderId="17" xfId="0" applyFont="1" applyFill="1" applyBorder="1" applyAlignment="1">
      <alignment horizontal="left" indent="2"/>
    </xf>
    <xf numFmtId="168" fontId="0" fillId="7" borderId="18" xfId="0" applyNumberFormat="1" applyFill="1" applyBorder="1" applyAlignment="1">
      <alignment horizontal="center"/>
    </xf>
    <xf numFmtId="168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0" fontId="3" fillId="0" borderId="15" xfId="0" applyNumberFormat="1" applyFont="1" applyBorder="1" applyAlignment="1">
      <alignment horizontal="center"/>
    </xf>
    <xf numFmtId="0" fontId="3" fillId="5" borderId="14" xfId="0" applyFont="1" applyFill="1" applyBorder="1" applyAlignment="1">
      <alignment horizontal="left" indent="2"/>
    </xf>
    <xf numFmtId="8" fontId="3" fillId="5" borderId="15" xfId="0" applyNumberFormat="1" applyFont="1" applyFill="1" applyBorder="1" applyAlignment="1">
      <alignment horizontal="center"/>
    </xf>
    <xf numFmtId="0" fontId="3" fillId="5" borderId="16" xfId="0" applyFont="1" applyFill="1" applyBorder="1" applyAlignment="1">
      <alignment horizontal="left" indent="2"/>
    </xf>
    <xf numFmtId="0" fontId="3" fillId="5" borderId="17" xfId="0" applyFont="1" applyFill="1" applyBorder="1" applyAlignment="1">
      <alignment horizontal="left" indent="2"/>
    </xf>
    <xf numFmtId="8" fontId="3" fillId="5" borderId="18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7" borderId="0" xfId="0" applyFont="1" applyFill="1"/>
    <xf numFmtId="168" fontId="3" fillId="7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/>
    <xf numFmtId="168" fontId="3" fillId="8" borderId="0" xfId="0" applyNumberFormat="1" applyFont="1" applyFill="1" applyAlignment="1">
      <alignment horizontal="center"/>
    </xf>
    <xf numFmtId="168" fontId="0" fillId="5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2" fillId="2" borderId="0" xfId="2" applyFont="1" applyFill="1"/>
    <xf numFmtId="0" fontId="0" fillId="9" borderId="0" xfId="0" applyFill="1"/>
    <xf numFmtId="0" fontId="0" fillId="9" borderId="0" xfId="0" applyFill="1" applyAlignment="1">
      <alignment horizontal="center"/>
    </xf>
    <xf numFmtId="9" fontId="0" fillId="9" borderId="0" xfId="0" applyNumberForma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DE-4E23-8C6C-F297E9503EE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DE-4E23-8C6C-F297E9503EE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DE-4E23-8C6C-F297E9503EE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DE-4E23-8C6C-F297E9503EE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DE-4E23-8C6C-F297E9503EE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63DE-4E23-8C6C-F297E9503EE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DE-4E23-8C6C-F297E9503EE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DE-4E23-8C6C-F297E9503EE6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DE-4E23-8C6C-F297E9503EE6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DE-4E23-8C6C-F297E9503EE6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DE-4E23-8C6C-F297E9503EE6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DE-4E23-8C6C-F297E9503E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E-4E23-8C6C-F297E9503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121920</xdr:rowOff>
    </xdr:from>
    <xdr:to>
      <xdr:col>4</xdr:col>
      <xdr:colOff>129540</xdr:colOff>
      <xdr:row>8</xdr:row>
      <xdr:rowOff>121991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6DB1943-F090-972A-ECDD-82FEFDBB8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1920"/>
          <a:ext cx="6736080" cy="1463111"/>
        </a:xfrm>
        <a:prstGeom prst="rect">
          <a:avLst/>
        </a:prstGeom>
      </xdr:spPr>
    </xdr:pic>
    <xdr:clientData/>
  </xdr:twoCellAnchor>
  <xdr:twoCellAnchor>
    <xdr:from>
      <xdr:col>1</xdr:col>
      <xdr:colOff>121920</xdr:colOff>
      <xdr:row>43</xdr:row>
      <xdr:rowOff>121920</xdr:rowOff>
    </xdr:from>
    <xdr:to>
      <xdr:col>3</xdr:col>
      <xdr:colOff>998220</xdr:colOff>
      <xdr:row>58</xdr:row>
      <xdr:rowOff>30480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0D65AF-253D-153D-96FF-674653DED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C3EB-3B8C-4B2D-8299-98A4D7F3AD5C}">
  <sheetPr>
    <pageSetUpPr fitToPage="1"/>
  </sheetPr>
  <dimension ref="A10:H65"/>
  <sheetViews>
    <sheetView showGridLines="0" tabSelected="1" zoomScaleNormal="100" workbookViewId="0">
      <selection activeCell="G1" sqref="G1:G1048576"/>
    </sheetView>
  </sheetViews>
  <sheetFormatPr defaultColWidth="0" defaultRowHeight="14.4" x14ac:dyDescent="0.3"/>
  <cols>
    <col min="1" max="1" width="3" bestFit="1" customWidth="1"/>
    <col min="2" max="2" width="29.21875" bestFit="1" customWidth="1"/>
    <col min="3" max="3" width="28.109375" customWidth="1"/>
    <col min="4" max="4" width="16" customWidth="1"/>
    <col min="5" max="5" width="2.21875" customWidth="1"/>
    <col min="6" max="6" width="1.6640625" customWidth="1"/>
    <col min="7" max="7" width="1.88671875" hidden="1" customWidth="1"/>
    <col min="8" max="8" width="2.44140625" hidden="1" customWidth="1"/>
    <col min="9" max="10" width="8.88671875" hidden="1" customWidth="1"/>
    <col min="11" max="16384" width="8.88671875" hidden="1"/>
  </cols>
  <sheetData>
    <row r="10" spans="2:4" ht="15" thickBot="1" x14ac:dyDescent="0.35"/>
    <row r="11" spans="2:4" ht="18" x14ac:dyDescent="0.3">
      <c r="B11" s="9" t="s">
        <v>15</v>
      </c>
      <c r="C11" s="17"/>
      <c r="D11" s="10"/>
    </row>
    <row r="12" spans="2:4" x14ac:dyDescent="0.3">
      <c r="B12" s="23" t="s">
        <v>14</v>
      </c>
      <c r="C12" s="21"/>
      <c r="D12" s="24">
        <v>2000</v>
      </c>
    </row>
    <row r="13" spans="2:4" x14ac:dyDescent="0.3">
      <c r="B13" s="23" t="s">
        <v>13</v>
      </c>
      <c r="C13" s="21"/>
      <c r="D13" s="25">
        <v>6.0000000000000001E-3</v>
      </c>
    </row>
    <row r="14" spans="2:4" ht="15" thickBot="1" x14ac:dyDescent="0.35">
      <c r="B14" s="26" t="s">
        <v>34</v>
      </c>
      <c r="C14" s="27"/>
      <c r="D14" s="28">
        <f>D12*30%</f>
        <v>600</v>
      </c>
    </row>
    <row r="15" spans="2:4" ht="15" thickBot="1" x14ac:dyDescent="0.35"/>
    <row r="16" spans="2:4" ht="20.399999999999999" customHeight="1" x14ac:dyDescent="0.3">
      <c r="B16" s="2" t="s">
        <v>5</v>
      </c>
      <c r="C16" s="16"/>
      <c r="D16" s="3"/>
    </row>
    <row r="17" spans="1:4" x14ac:dyDescent="0.3">
      <c r="B17" s="23" t="s">
        <v>0</v>
      </c>
      <c r="C17" s="21"/>
      <c r="D17" s="29">
        <v>300</v>
      </c>
    </row>
    <row r="18" spans="1:4" x14ac:dyDescent="0.3">
      <c r="B18" s="23" t="s">
        <v>1</v>
      </c>
      <c r="C18" s="21"/>
      <c r="D18" s="30">
        <v>5</v>
      </c>
    </row>
    <row r="19" spans="1:4" x14ac:dyDescent="0.3">
      <c r="B19" s="23" t="s">
        <v>2</v>
      </c>
      <c r="C19" s="21"/>
      <c r="D19" s="31">
        <v>1.0789999999999999E-2</v>
      </c>
    </row>
    <row r="20" spans="1:4" x14ac:dyDescent="0.3">
      <c r="B20" s="32" t="s">
        <v>4</v>
      </c>
      <c r="C20" s="22"/>
      <c r="D20" s="33">
        <f>FV(taxa_mensal,qtd_anos*12,aporte*-1)</f>
        <v>25133.074199546292</v>
      </c>
    </row>
    <row r="21" spans="1:4" ht="15" thickBot="1" x14ac:dyDescent="0.35">
      <c r="B21" s="34" t="s">
        <v>3</v>
      </c>
      <c r="C21" s="35"/>
      <c r="D21" s="36">
        <f>patrimonio*rendimento_carteira</f>
        <v>150.79844519727774</v>
      </c>
    </row>
    <row r="22" spans="1:4" ht="15" thickBot="1" x14ac:dyDescent="0.35"/>
    <row r="23" spans="1:4" ht="21" x14ac:dyDescent="0.3">
      <c r="B23" s="6" t="s">
        <v>11</v>
      </c>
      <c r="C23" s="7"/>
      <c r="D23" s="5" t="s">
        <v>12</v>
      </c>
    </row>
    <row r="24" spans="1:4" x14ac:dyDescent="0.3">
      <c r="A24" s="1">
        <v>2</v>
      </c>
      <c r="B24" s="18" t="s">
        <v>6</v>
      </c>
      <c r="C24" s="11">
        <f>FV($D$19,$A24*12,$D$17*-1)</f>
        <v>8168.2881892935648</v>
      </c>
      <c r="D24" s="12">
        <f>C24*rendimento_carteira</f>
        <v>49.00972913576139</v>
      </c>
    </row>
    <row r="25" spans="1:4" x14ac:dyDescent="0.3">
      <c r="A25" s="1">
        <v>5</v>
      </c>
      <c r="B25" s="19" t="s">
        <v>7</v>
      </c>
      <c r="C25" s="13">
        <f>FV($D$19,$A25*12,$D$17*-1)</f>
        <v>25133.074199546292</v>
      </c>
      <c r="D25" s="12">
        <f>C25*rendimento_carteira</f>
        <v>150.79844519727774</v>
      </c>
    </row>
    <row r="26" spans="1:4" x14ac:dyDescent="0.3">
      <c r="A26" s="1">
        <v>10</v>
      </c>
      <c r="B26" s="19" t="s">
        <v>8</v>
      </c>
      <c r="C26" s="13">
        <f>FV($D$19,$A26*12,$D$17*-1)</f>
        <v>72985.263759051653</v>
      </c>
      <c r="D26" s="12">
        <f>C26*rendimento_carteira</f>
        <v>437.91158255430992</v>
      </c>
    </row>
    <row r="27" spans="1:4" x14ac:dyDescent="0.3">
      <c r="A27" s="1">
        <v>20</v>
      </c>
      <c r="B27" s="19" t="s">
        <v>9</v>
      </c>
      <c r="C27" s="13">
        <f>FV($D$19,$A27*12,$D$17*-1)</f>
        <v>337559.52002912416</v>
      </c>
      <c r="D27" s="12">
        <f>C27*rendimento_carteira</f>
        <v>2025.357120174745</v>
      </c>
    </row>
    <row r="28" spans="1:4" ht="15" thickBot="1" x14ac:dyDescent="0.35">
      <c r="A28" s="1">
        <v>30</v>
      </c>
      <c r="B28" s="20" t="s">
        <v>10</v>
      </c>
      <c r="C28" s="14">
        <f>FV($D$19,$A28*12,$D$17*-1)</f>
        <v>1296650.8965014142</v>
      </c>
      <c r="D28" s="15">
        <f>C28*rendimento_carteira</f>
        <v>7779.9053790084854</v>
      </c>
    </row>
    <row r="32" spans="1:4" x14ac:dyDescent="0.3">
      <c r="B32" s="37" t="s">
        <v>17</v>
      </c>
      <c r="C32" s="38" t="s">
        <v>27</v>
      </c>
      <c r="D32" s="37"/>
    </row>
    <row r="33" spans="2:4" x14ac:dyDescent="0.3">
      <c r="B33" s="39" t="s">
        <v>16</v>
      </c>
      <c r="C33" s="40">
        <f>aporte</f>
        <v>300</v>
      </c>
      <c r="D33" s="39"/>
    </row>
    <row r="35" spans="2:4" x14ac:dyDescent="0.3">
      <c r="B35" s="41" t="s">
        <v>18</v>
      </c>
      <c r="C35" s="41" t="s">
        <v>19</v>
      </c>
      <c r="D35" s="41" t="s">
        <v>20</v>
      </c>
    </row>
    <row r="36" spans="2:4" x14ac:dyDescent="0.3">
      <c r="B36" s="4" t="s">
        <v>21</v>
      </c>
      <c r="C36" s="8">
        <f>VLOOKUP($C$32&amp;"-"&amp;B36,tabela_apoio!$A:$D,4,FALSE)</f>
        <v>0.3</v>
      </c>
      <c r="D36" s="44">
        <f>C36*$C$33</f>
        <v>90</v>
      </c>
    </row>
    <row r="37" spans="2:4" x14ac:dyDescent="0.3">
      <c r="B37" s="4" t="s">
        <v>22</v>
      </c>
      <c r="C37" s="8">
        <f>VLOOKUP($C$32&amp;"-"&amp;B37,tabela_apoio!$A:$D,4,FALSE)</f>
        <v>0.5</v>
      </c>
      <c r="D37" s="44">
        <f t="shared" ref="D37:D41" si="0">C37*$C$33</f>
        <v>150</v>
      </c>
    </row>
    <row r="38" spans="2:4" x14ac:dyDescent="0.3">
      <c r="B38" s="4" t="s">
        <v>23</v>
      </c>
      <c r="C38" s="8">
        <f>VLOOKUP($C$32&amp;"-"&amp;B38,tabela_apoio!$A:$D,4,FALSE)</f>
        <v>0.1</v>
      </c>
      <c r="D38" s="44">
        <f t="shared" si="0"/>
        <v>30</v>
      </c>
    </row>
    <row r="39" spans="2:4" x14ac:dyDescent="0.3">
      <c r="B39" s="4" t="s">
        <v>24</v>
      </c>
      <c r="C39" s="8">
        <f>VLOOKUP($C$32&amp;"-"&amp;B39,tabela_apoio!$A:$D,4,FALSE)</f>
        <v>0.1</v>
      </c>
      <c r="D39" s="44">
        <f t="shared" si="0"/>
        <v>30</v>
      </c>
    </row>
    <row r="40" spans="2:4" x14ac:dyDescent="0.3">
      <c r="B40" s="4" t="s">
        <v>25</v>
      </c>
      <c r="C40" s="8">
        <f>VLOOKUP($C$32&amp;"-"&amp;B40,tabela_apoio!$A:$D,4,FALSE)</f>
        <v>0</v>
      </c>
      <c r="D40" s="44">
        <f t="shared" si="0"/>
        <v>0</v>
      </c>
    </row>
    <row r="41" spans="2:4" x14ac:dyDescent="0.3">
      <c r="B41" s="4" t="s">
        <v>26</v>
      </c>
      <c r="C41" s="8">
        <f>VLOOKUP($C$32&amp;"-"&amp;B41,tabela_apoio!$A:$D,4,FALSE)</f>
        <v>0</v>
      </c>
      <c r="D41" s="44">
        <f t="shared" si="0"/>
        <v>0</v>
      </c>
    </row>
    <row r="42" spans="2:4" x14ac:dyDescent="0.3">
      <c r="B42" s="42"/>
      <c r="C42" s="42"/>
      <c r="D42" s="43">
        <f>SUM(D36:D41)</f>
        <v>300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</sheetData>
  <mergeCells count="11">
    <mergeCell ref="B16:D16"/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 xr:uid="{EA0DC91A-417C-4EE9-AA83-357D91B9BDB5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03EC-FC9E-420A-AE32-FB7BF1E46E35}">
  <dimension ref="A2:H20"/>
  <sheetViews>
    <sheetView workbookViewId="0">
      <selection activeCell="D18" sqref="D18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7" max="7" width="15.44140625" bestFit="1" customWidth="1"/>
  </cols>
  <sheetData>
    <row r="2" spans="1:8" x14ac:dyDescent="0.3">
      <c r="A2" t="s">
        <v>30</v>
      </c>
      <c r="B2" s="4" t="s">
        <v>17</v>
      </c>
      <c r="C2" s="4" t="s">
        <v>28</v>
      </c>
      <c r="D2" s="4" t="s">
        <v>29</v>
      </c>
    </row>
    <row r="3" spans="1:8" x14ac:dyDescent="0.3">
      <c r="A3" t="str">
        <f>B3&amp;"-"&amp;C3</f>
        <v>Conservador-PAPEL</v>
      </c>
      <c r="B3" t="s">
        <v>27</v>
      </c>
      <c r="C3" s="4" t="s">
        <v>21</v>
      </c>
      <c r="D3" s="8">
        <v>0.3</v>
      </c>
      <c r="H3" s="4" t="s">
        <v>29</v>
      </c>
    </row>
    <row r="4" spans="1:8" x14ac:dyDescent="0.3">
      <c r="A4" t="str">
        <f t="shared" ref="A4:A20" si="0">B4&amp;"-"&amp;C4</f>
        <v>Conservador-TIJOLO</v>
      </c>
      <c r="B4" t="s">
        <v>27</v>
      </c>
      <c r="C4" s="4" t="s">
        <v>22</v>
      </c>
      <c r="D4" s="8">
        <v>0.5</v>
      </c>
      <c r="G4" s="37" t="s">
        <v>33</v>
      </c>
      <c r="H4" s="48">
        <f>VLOOKUP(G4,$A:$D,4,FALSE)</f>
        <v>0.35</v>
      </c>
    </row>
    <row r="5" spans="1:8" x14ac:dyDescent="0.3">
      <c r="A5" t="str">
        <f t="shared" si="0"/>
        <v>Conservador-HÍBRIDOS</v>
      </c>
      <c r="B5" t="s">
        <v>27</v>
      </c>
      <c r="C5" s="4" t="s">
        <v>23</v>
      </c>
      <c r="D5" s="8">
        <v>0.1</v>
      </c>
    </row>
    <row r="6" spans="1:8" x14ac:dyDescent="0.3">
      <c r="A6" t="str">
        <f t="shared" si="0"/>
        <v>Conservador-FOFs</v>
      </c>
      <c r="B6" t="s">
        <v>27</v>
      </c>
      <c r="C6" s="4" t="s">
        <v>24</v>
      </c>
      <c r="D6" s="8">
        <v>0.1</v>
      </c>
    </row>
    <row r="7" spans="1:8" x14ac:dyDescent="0.3">
      <c r="A7" t="str">
        <f t="shared" si="0"/>
        <v>Conservador-DESENVOLVIMENTO</v>
      </c>
      <c r="B7" t="s">
        <v>27</v>
      </c>
      <c r="C7" s="4" t="s">
        <v>25</v>
      </c>
      <c r="D7" s="8">
        <v>0</v>
      </c>
    </row>
    <row r="8" spans="1:8" ht="15" thickBot="1" x14ac:dyDescent="0.35">
      <c r="A8" s="45" t="str">
        <f t="shared" si="0"/>
        <v>Conservador-HOTELARIAS</v>
      </c>
      <c r="B8" s="45" t="s">
        <v>27</v>
      </c>
      <c r="C8" s="46" t="s">
        <v>26</v>
      </c>
      <c r="D8" s="47">
        <v>0</v>
      </c>
    </row>
    <row r="9" spans="1:8" x14ac:dyDescent="0.3">
      <c r="A9" t="str">
        <f t="shared" si="0"/>
        <v>Moderado-PAPEL</v>
      </c>
      <c r="B9" t="s">
        <v>31</v>
      </c>
      <c r="C9" s="4" t="s">
        <v>21</v>
      </c>
      <c r="D9" s="8">
        <v>0.32</v>
      </c>
    </row>
    <row r="10" spans="1:8" x14ac:dyDescent="0.3">
      <c r="A10" s="49" t="str">
        <f t="shared" si="0"/>
        <v>Moderado-TIJOLO</v>
      </c>
      <c r="B10" s="49" t="s">
        <v>31</v>
      </c>
      <c r="C10" s="50" t="s">
        <v>22</v>
      </c>
      <c r="D10" s="51">
        <v>0.35</v>
      </c>
    </row>
    <row r="11" spans="1:8" x14ac:dyDescent="0.3">
      <c r="A11" t="str">
        <f t="shared" si="0"/>
        <v>Moderado-HÍBRIDOS</v>
      </c>
      <c r="B11" t="s">
        <v>31</v>
      </c>
      <c r="C11" s="4" t="s">
        <v>23</v>
      </c>
      <c r="D11" s="8">
        <v>0.08</v>
      </c>
    </row>
    <row r="12" spans="1:8" x14ac:dyDescent="0.3">
      <c r="A12" t="str">
        <f t="shared" si="0"/>
        <v>Moderado-FOFs</v>
      </c>
      <c r="B12" t="s">
        <v>31</v>
      </c>
      <c r="C12" s="4" t="s">
        <v>24</v>
      </c>
      <c r="D12" s="8">
        <v>0.05</v>
      </c>
    </row>
    <row r="13" spans="1:8" x14ac:dyDescent="0.3">
      <c r="A13" t="str">
        <f t="shared" si="0"/>
        <v>Moderado-DESENVOLVIMENTO</v>
      </c>
      <c r="B13" t="s">
        <v>31</v>
      </c>
      <c r="C13" s="4" t="s">
        <v>25</v>
      </c>
      <c r="D13" s="8">
        <v>0.1</v>
      </c>
    </row>
    <row r="14" spans="1:8" ht="15" thickBot="1" x14ac:dyDescent="0.35">
      <c r="A14" s="45" t="str">
        <f t="shared" si="0"/>
        <v>Moderado-HOTELARIAS</v>
      </c>
      <c r="B14" s="45" t="s">
        <v>31</v>
      </c>
      <c r="C14" s="46" t="s">
        <v>26</v>
      </c>
      <c r="D14" s="47">
        <v>0.1</v>
      </c>
    </row>
    <row r="15" spans="1:8" x14ac:dyDescent="0.3">
      <c r="A15" t="str">
        <f t="shared" si="0"/>
        <v>Agressivo-PAPEL</v>
      </c>
      <c r="B15" t="s">
        <v>32</v>
      </c>
      <c r="C15" s="4" t="s">
        <v>21</v>
      </c>
      <c r="D15" s="8">
        <v>0.5</v>
      </c>
    </row>
    <row r="16" spans="1:8" x14ac:dyDescent="0.3">
      <c r="A16" t="str">
        <f t="shared" si="0"/>
        <v>Agressivo-TIJOLO</v>
      </c>
      <c r="B16" t="s">
        <v>32</v>
      </c>
      <c r="C16" s="4" t="s">
        <v>22</v>
      </c>
      <c r="D16" s="8">
        <v>0.1</v>
      </c>
    </row>
    <row r="17" spans="1:4" x14ac:dyDescent="0.3">
      <c r="A17" t="str">
        <f t="shared" si="0"/>
        <v>Agressivo-HÍBRIDOS</v>
      </c>
      <c r="B17" t="s">
        <v>32</v>
      </c>
      <c r="C17" s="4" t="s">
        <v>23</v>
      </c>
      <c r="D17" s="8">
        <v>0.05</v>
      </c>
    </row>
    <row r="18" spans="1:4" x14ac:dyDescent="0.3">
      <c r="A18" t="str">
        <f t="shared" si="0"/>
        <v>Agressivo-FOFs</v>
      </c>
      <c r="B18" t="s">
        <v>32</v>
      </c>
      <c r="C18" s="4" t="s">
        <v>24</v>
      </c>
      <c r="D18" s="8">
        <v>0.05</v>
      </c>
    </row>
    <row r="19" spans="1:4" x14ac:dyDescent="0.3">
      <c r="A19" t="str">
        <f t="shared" si="0"/>
        <v>Agressivo-DESENVOLVIMENTO</v>
      </c>
      <c r="B19" t="s">
        <v>32</v>
      </c>
      <c r="C19" s="4" t="s">
        <v>25</v>
      </c>
      <c r="D19" s="8">
        <v>0.2</v>
      </c>
    </row>
    <row r="20" spans="1:4" x14ac:dyDescent="0.3">
      <c r="A20" t="str">
        <f t="shared" si="0"/>
        <v>Agressivo-HOTELARIAS</v>
      </c>
      <c r="B20" t="s">
        <v>32</v>
      </c>
      <c r="C20" s="4" t="s">
        <v>26</v>
      </c>
      <c r="D20" s="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tabela_apoio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Thaís Vianna</dc:creator>
  <cp:lastModifiedBy>Thaís Vianna</cp:lastModifiedBy>
  <cp:lastPrinted>2026-10-10T03:12:02Z</cp:lastPrinted>
  <dcterms:created xsi:type="dcterms:W3CDTF">2026-10-09T02:42:17Z</dcterms:created>
  <dcterms:modified xsi:type="dcterms:W3CDTF">2026-10-10T03:23:39Z</dcterms:modified>
</cp:coreProperties>
</file>